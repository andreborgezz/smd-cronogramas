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Servidordell\rede de projetos servidor dell\NEWCAD\PUREM\"/>
    </mc:Choice>
  </mc:AlternateContent>
  <xr:revisionPtr revIDLastSave="0" documentId="13_ncr:1_{15CAFAE2-6D33-46A5-B619-3F63414A036B}" xr6:coauthVersionLast="47" xr6:coauthVersionMax="47" xr10:uidLastSave="{00000000-0000-0000-0000-000000000000}"/>
  <bookViews>
    <workbookView xWindow="-120" yWindow="-120" windowWidth="29040" windowHeight="15720" tabRatio="724" xr2:uid="{00000000-000D-0000-FFFF-FFFF00000000}"/>
  </bookViews>
  <sheets>
    <sheet name="CRONOGRAMA PUREM" sheetId="32" r:id="rId1"/>
  </sheets>
  <definedNames>
    <definedName name="_xlnm._FilterDatabase" localSheetId="0" hidden="1">'CRONOGRAMA PUREM'!$D$1:$D$8</definedName>
    <definedName name="_xlnm.Print_Area" localSheetId="0">'CRONOGRAMA PUREM'!$1:$8</definedName>
    <definedName name="task_end" localSheetId="0">'CRONOGRAMA PUREM'!$F1</definedName>
    <definedName name="task_progress" localSheetId="0">'CRONOGRAMA PUREM'!$D1</definedName>
    <definedName name="task_start" localSheetId="0">'CRONOGRAMA PUREM'!$E1</definedName>
    <definedName name="_xlnm.Print_Titles" localSheetId="0">'CRONOGRAMA PUREM'!$4:$6</definedName>
    <definedName name="today" localSheetId="0">'CRONOGRAMA PUREM'!$E$3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2" l="1"/>
  <c r="H14" i="32"/>
  <c r="H15" i="32"/>
  <c r="H8" i="32"/>
  <c r="H9" i="32"/>
  <c r="H13" i="32" l="1"/>
  <c r="H10" i="32"/>
  <c r="H11" i="32"/>
  <c r="H12" i="32"/>
  <c r="E3" i="32"/>
  <c r="I5" i="32"/>
  <c r="I4" i="32" s="1"/>
  <c r="H7" i="32"/>
  <c r="J5" i="32" l="1"/>
  <c r="I6" i="32"/>
  <c r="K5" i="32" l="1"/>
  <c r="J6" i="32"/>
  <c r="L5" i="32" l="1"/>
  <c r="K6" i="32"/>
  <c r="M5" i="32" l="1"/>
  <c r="L6" i="32"/>
  <c r="N5" i="32" l="1"/>
  <c r="M6" i="32"/>
  <c r="O5" i="32" l="1"/>
  <c r="N6" i="32"/>
  <c r="P5" i="32" l="1"/>
  <c r="O6" i="32"/>
  <c r="P6" i="32" l="1"/>
  <c r="P4" i="32"/>
  <c r="Q5" i="32"/>
  <c r="Q6" i="32" l="1"/>
  <c r="R5" i="32"/>
  <c r="R6" i="32" l="1"/>
  <c r="S5" i="32"/>
  <c r="T5" i="32" l="1"/>
  <c r="S6" i="32"/>
  <c r="U5" i="32" l="1"/>
  <c r="T6" i="32"/>
  <c r="V5" i="32" l="1"/>
  <c r="U6" i="32"/>
  <c r="W5" i="32" l="1"/>
  <c r="V6" i="32"/>
  <c r="W6" i="32" l="1"/>
  <c r="W4" i="32"/>
  <c r="X5" i="32"/>
  <c r="X6" i="32" l="1"/>
  <c r="Y5" i="32"/>
  <c r="Y6" i="32" l="1"/>
  <c r="Z5" i="32"/>
  <c r="Z6" i="32" l="1"/>
  <c r="AA5" i="32"/>
  <c r="AB5" i="32" l="1"/>
  <c r="AA6" i="32"/>
  <c r="AC5" i="32" l="1"/>
  <c r="AB6" i="32"/>
  <c r="AD5" i="32" l="1"/>
  <c r="AC6" i="32"/>
  <c r="AE5" i="32" l="1"/>
  <c r="AD4" i="32"/>
  <c r="AD6" i="32"/>
  <c r="AF5" i="32" l="1"/>
  <c r="AE6" i="32"/>
  <c r="AF6" i="32" l="1"/>
  <c r="AG5" i="32"/>
  <c r="AG6" i="32" l="1"/>
  <c r="AH5" i="32"/>
  <c r="AI5" i="32" l="1"/>
  <c r="AH6" i="32"/>
  <c r="AJ5" i="32" l="1"/>
  <c r="AI6" i="32"/>
  <c r="AK5" i="32" l="1"/>
  <c r="AJ6" i="32"/>
  <c r="AL5" i="32" l="1"/>
  <c r="AK4" i="32"/>
  <c r="AK6" i="32"/>
  <c r="AM5" i="32" l="1"/>
  <c r="AL6" i="32"/>
  <c r="AM6" i="32" l="1"/>
  <c r="AN5" i="32"/>
  <c r="AN6" i="32" l="1"/>
  <c r="AO5" i="32"/>
  <c r="AO6" i="32" l="1"/>
  <c r="AP5" i="32"/>
  <c r="AP6" i="32" l="1"/>
  <c r="AQ5" i="32"/>
  <c r="AR5" i="32" l="1"/>
  <c r="AQ6" i="32"/>
  <c r="AS5" i="32" l="1"/>
  <c r="AR6" i="32"/>
  <c r="AR4" i="32"/>
  <c r="AT5" i="32" l="1"/>
  <c r="AS6" i="32"/>
  <c r="AU5" i="32" l="1"/>
  <c r="AT6" i="32"/>
  <c r="AU6" i="32" l="1"/>
  <c r="AV5" i="32"/>
  <c r="AV6" i="32" l="1"/>
  <c r="AW5" i="32"/>
  <c r="AW6" i="32" l="1"/>
  <c r="AX5" i="32"/>
  <c r="AX6" i="32" l="1"/>
  <c r="AY5" i="32"/>
  <c r="AZ5" i="32" l="1"/>
  <c r="AY6" i="32"/>
  <c r="AY4" i="32"/>
  <c r="BA5" i="32" l="1"/>
  <c r="AZ6" i="32"/>
  <c r="BB5" i="32" l="1"/>
  <c r="BA6" i="32"/>
  <c r="BC5" i="32" l="1"/>
  <c r="BB6" i="32"/>
  <c r="BD5" i="32" l="1"/>
  <c r="BC6" i="32"/>
  <c r="BD6" i="32" l="1"/>
  <c r="BE5" i="32"/>
  <c r="BE6" i="32" l="1"/>
  <c r="BF5" i="32"/>
  <c r="BF4" i="32" l="1"/>
  <c r="BF6" i="32"/>
  <c r="BG5" i="32"/>
  <c r="BH5" i="32" l="1"/>
  <c r="BG6" i="32"/>
  <c r="BI5" i="32" l="1"/>
  <c r="BH6" i="32"/>
  <c r="BJ5" i="32" l="1"/>
  <c r="BI6" i="32"/>
  <c r="BK5" i="32" l="1"/>
  <c r="BJ6" i="32"/>
  <c r="BK6" i="32" l="1"/>
  <c r="BL5" i="32"/>
  <c r="BL6" i="32" l="1"/>
  <c r="BM5" i="32"/>
  <c r="BM4" i="32" l="1"/>
  <c r="BM6" i="32"/>
  <c r="BN5" i="32"/>
  <c r="BO5" i="32" l="1"/>
  <c r="BN6" i="32"/>
  <c r="BP5" i="32" l="1"/>
  <c r="BO6" i="32"/>
  <c r="BQ5" i="32" l="1"/>
  <c r="BP6" i="32"/>
  <c r="BR5" i="32" l="1"/>
  <c r="BQ6" i="32"/>
  <c r="BS5" i="32" l="1"/>
  <c r="BR6" i="32"/>
  <c r="BS6" i="32" l="1"/>
  <c r="BT5" i="32"/>
  <c r="BT6" i="32" l="1"/>
  <c r="BT4" i="32"/>
  <c r="BU5" i="32"/>
  <c r="BU6" i="32" l="1"/>
  <c r="BV5" i="32"/>
  <c r="BV6" i="32" l="1"/>
  <c r="BW5" i="32"/>
  <c r="BX5" i="32" l="1"/>
  <c r="BW6" i="32"/>
  <c r="BY5" i="32" l="1"/>
  <c r="BX6" i="32"/>
  <c r="BZ5" i="32" l="1"/>
  <c r="BY6" i="32"/>
  <c r="CA5" i="32" l="1"/>
  <c r="BZ6" i="32"/>
  <c r="CA4" i="32" l="1"/>
  <c r="CB5" i="32"/>
  <c r="CA6" i="32"/>
  <c r="CB6" i="32" l="1"/>
  <c r="CC5" i="32"/>
  <c r="CC6" i="32" l="1"/>
  <c r="CD5" i="32"/>
  <c r="CD6" i="32" l="1"/>
  <c r="CE5" i="32"/>
  <c r="CF5" i="32" l="1"/>
  <c r="CE6" i="32"/>
  <c r="CG5" i="32" l="1"/>
  <c r="CF6" i="32"/>
  <c r="CH5" i="32" l="1"/>
  <c r="CG6" i="32"/>
  <c r="CI5" i="32" l="1"/>
  <c r="CH4" i="32"/>
  <c r="CH6" i="32"/>
  <c r="CI6" i="32" l="1"/>
  <c r="CJ5" i="32"/>
  <c r="CJ6" i="32" l="1"/>
  <c r="CK5" i="32"/>
  <c r="CK6" i="32" l="1"/>
  <c r="CL5" i="32"/>
  <c r="CM5" i="32" l="1"/>
  <c r="CL6" i="32"/>
  <c r="CN5" i="32" l="1"/>
  <c r="CM6" i="32"/>
  <c r="CN6" i="32" l="1"/>
  <c r="CO5" i="32"/>
  <c r="CP5" i="32" l="1"/>
  <c r="CO6" i="32"/>
  <c r="CO4" i="32"/>
  <c r="CP6" i="32" l="1"/>
  <c r="CQ5" i="32"/>
  <c r="CQ6" i="32" l="1"/>
  <c r="CR5" i="32"/>
  <c r="CR6" i="32" l="1"/>
  <c r="CS5" i="32"/>
  <c r="CT5" i="32" l="1"/>
  <c r="CS6" i="32"/>
  <c r="CU5" i="32" l="1"/>
  <c r="CU6" i="32" s="1"/>
  <c r="CT6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<sst xmlns="http://schemas.openxmlformats.org/spreadsheetml/2006/main" count="26" uniqueCount="20">
  <si>
    <t>Project Start:</t>
  </si>
  <si>
    <t>DAYS</t>
  </si>
  <si>
    <t>Display Week:</t>
  </si>
  <si>
    <t>Today:</t>
  </si>
  <si>
    <t>INICIO</t>
  </si>
  <si>
    <t>FIM</t>
  </si>
  <si>
    <t>TAREFA</t>
  </si>
  <si>
    <t>PROGRESSO</t>
  </si>
  <si>
    <t>ATRIBUIDO                          PARA:</t>
  </si>
  <si>
    <t>SOLIDFER</t>
  </si>
  <si>
    <t>PUREM</t>
  </si>
  <si>
    <t>ENTREGA</t>
  </si>
  <si>
    <t>RFQ_00145 - Toyota 654D - Gauge final</t>
  </si>
  <si>
    <t>PROJETO</t>
  </si>
  <si>
    <t xml:space="preserve">APROVAÇÃO </t>
  </si>
  <si>
    <t xml:space="preserve">COMPRA DE MATÉRIA PRIMA </t>
  </si>
  <si>
    <t xml:space="preserve">USINAGEM </t>
  </si>
  <si>
    <t>MONTAGEM E AJUSTES FINAIS</t>
  </si>
  <si>
    <t xml:space="preserve">MEDIÇÃO </t>
  </si>
  <si>
    <t xml:space="preserve">VALIDAÇÃO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</si>
</sst>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 d\,\ yyyy"/>
    <numFmt numFmtId="165" formatCode="d"/>
  </numFmts>
  <fonts count="21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 tint="0.34998626667073579"/>
      <name val="Calibri"/>
      <family val="2"/>
      <scheme val="major"/>
    </font>
    <font>
      <sz val="16"/>
      <color theme="1"/>
      <name val="Calibri"/>
      <family val="2"/>
      <scheme val="minor"/>
    </font>
    <font>
      <sz val="7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6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4" fillId="2" borderId="2" xfId="0" applyNumberFormat="1" applyFont="1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right" vertical="center"/>
    </xf>
    <xf numFmtId="0" fontId="5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0" fillId="8" borderId="10" xfId="0" applyFill="1" applyBorder="1" applyAlignment="1">
      <alignment vertical="center"/>
    </xf>
    <xf numFmtId="165" fontId="13" fillId="5" borderId="7" xfId="0" applyNumberFormat="1" applyFont="1" applyFill="1" applyBorder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165" fontId="13" fillId="5" borderId="8" xfId="0" applyNumberFormat="1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 shrinkToFit="1"/>
    </xf>
    <xf numFmtId="9" fontId="4" fillId="2" borderId="12" xfId="2" applyFont="1" applyFill="1" applyBorder="1" applyAlignment="1">
      <alignment horizontal="center" vertical="center"/>
    </xf>
    <xf numFmtId="14" fontId="4" fillId="2" borderId="1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1" applyFont="1" applyBorder="1" applyAlignment="1" applyProtection="1">
      <alignment horizontal="center" vertical="center"/>
    </xf>
    <xf numFmtId="0" fontId="5" fillId="6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center" vertical="center" wrapText="1"/>
    </xf>
    <xf numFmtId="164" fontId="0" fillId="5" borderId="5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5" borderId="6" xfId="0" applyNumberFormat="1" applyFill="1" applyBorder="1" applyAlignment="1">
      <alignment horizontal="center" vertical="center" wrapText="1"/>
    </xf>
    <xf numFmtId="9" fontId="15" fillId="8" borderId="13" xfId="2" applyFont="1" applyFill="1" applyBorder="1" applyAlignment="1">
      <alignment horizontal="center" vertical="center"/>
    </xf>
    <xf numFmtId="9" fontId="15" fillId="8" borderId="14" xfId="2" applyFont="1" applyFill="1" applyBorder="1" applyAlignment="1">
      <alignment horizontal="center" vertical="center"/>
    </xf>
    <xf numFmtId="9" fontId="15" fillId="8" borderId="15" xfId="2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0" fillId="0" borderId="0" xfId="0"/>
    <xf numFmtId="0" fontId="20" fillId="2" borderId="2" xfId="0" applyFont="1" applyFill="1" applyBorder="1" applyAlignment="1">
      <alignment horizontal="left" vertical="center" indent="2"/>
    </xf>
    <xf numFmtId="0" fontId="20" fillId="2" borderId="0" xfId="0" applyFont="1" applyFill="1" applyAlignment="1">
      <alignment horizontal="left" vertical="center" indent="2"/>
    </xf>
  </cellXfs>
  <cellStyles count="3">
    <cellStyle name="Hiperlink" xfId="1" builtinId="8" customBuiltin="1"/>
    <cellStyle name="Normal" xfId="0" builtinId="0"/>
    <cellStyle name="Porcentagem" xfId="2" builtinId="5"/>
  </cellStyles>
  <dxfs count="15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FF99"/>
      <color rgb="FFC0C0C0"/>
      <color rgb="FF215881"/>
      <color rgb="FF42648A"/>
      <color rgb="FF969696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3067049</xdr:colOff>
      <xdr:row>0</xdr:row>
      <xdr:rowOff>312963</xdr:rowOff>
    </xdr:from>
    <xdr:to>
      <xdr:col>1</xdr:col>
      <xdr:colOff>6072262</xdr:colOff>
      <xdr:row>3</xdr:row>
      <xdr:rowOff>136070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E5181C-70C7-5910-0394-7CE96896E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507" b="16930"/>
        <a:stretch>
          <a:fillRect/>
        </a:stretch>
      </xdr:blipFill>
      <xdr:spPr>
        <a:xfrm>
          <a:off x="3243942" y="312963"/>
          <a:ext cx="3007118" cy="84364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0</xdr:row>
      <xdr:rowOff>217716</xdr:rowOff>
    </xdr:from>
    <xdr:to>
      <xdr:col>1</xdr:col>
      <xdr:colOff>2476500</xdr:colOff>
      <xdr:row>3</xdr:row>
      <xdr:rowOff>188520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5B34D8-2498-8F40-A7AF-FFD6823CF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394" y="217716"/>
          <a:ext cx="2285999" cy="991340"/>
        </a:xfrm>
        <a:prstGeom prst="rect">
          <a:avLst/>
        </a:prstGeom>
      </xdr:spPr>
    </xdr:pic>
    <xdr:clientData/>
  </xdr:twoCellAnchor>
  <xdr:twoCellAnchor>
    <xdr:from>
      <xdr:col>1</xdr:col>
      <xdr:colOff>353784</xdr:colOff>
      <xdr:row>16</xdr:row>
      <xdr:rowOff>10887</xdr:rowOff>
    </xdr:from>
    <xdr:to>
      <xdr:col>3</xdr:col>
      <xdr:colOff>176892</xdr:colOff>
      <xdr:row>37</xdr:row>
      <xdr:rowOff>35825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F969E9-DE75-6EBB-C1D4-AB19D513EF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7"/>
        <a:stretch>
          <a:fillRect/>
        </a:stretch>
      </xdr:blipFill>
      <xdr:spPr bwMode="auto">
        <a:xfrm>
          <a:off x="530677" y="5181601"/>
          <a:ext cx="7062108" cy="4025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  <pageSetUpPr fitToPage="1"/>
  </sheetPr>
  <dimension ref="A1:CU59"/>
  <sheetViews>
    <sheetView showGridLines="0" tabSelected="1" showRuler="0" zoomScale="70" zoomScaleNormal="70" zoomScalePageLayoutView="70" workbookViewId="0">
      <selection activeCell="AE19" sqref="AE19"/>
    </sheetView>
  </sheetViews>
  <sheetFormatPr defaultRowHeight="15" x14ac:dyDescent="0.25"/>
  <cols>
    <col min="1" max="1" width="2.7109375" customWidth="1"/>
    <col min="2" max="2" width="91.140625" customWidth="1"/>
    <col min="3" max="3" width="17.28515625" bestFit="1" customWidth="1"/>
    <col min="4" max="4" width="14.42578125" bestFit="1" customWidth="1"/>
    <col min="5" max="5" width="12.85546875" style="16" customWidth="1"/>
    <col min="6" max="6" width="13.140625" style="15" customWidth="1"/>
    <col min="7" max="7" width="0.85546875" customWidth="1"/>
    <col min="8" max="8" width="10.42578125" customWidth="1"/>
    <col min="9" max="12" width="1.7109375" bestFit="1" customWidth="1"/>
    <col min="13" max="13" width="2.140625" bestFit="1" customWidth="1"/>
    <col min="14" max="14" width="1.85546875" bestFit="1" customWidth="1"/>
    <col min="15" max="22" width="2.140625" bestFit="1" customWidth="1"/>
    <col min="23" max="23" width="2.42578125" bestFit="1" customWidth="1"/>
    <col min="24" max="24" width="2.140625" bestFit="1" customWidth="1"/>
    <col min="25" max="33" width="2.42578125" bestFit="1" customWidth="1"/>
    <col min="34" max="36" width="1.7109375" bestFit="1" customWidth="1"/>
    <col min="37" max="40" width="2.42578125" bestFit="1" customWidth="1"/>
    <col min="41" max="43" width="1.7109375" bestFit="1" customWidth="1"/>
    <col min="44" max="44" width="1.85546875" bestFit="1" customWidth="1"/>
    <col min="45" max="52" width="2.140625" bestFit="1" customWidth="1"/>
    <col min="53" max="53" width="2.42578125" bestFit="1" customWidth="1"/>
    <col min="54" max="54" width="2.140625" bestFit="1" customWidth="1"/>
    <col min="55" max="63" width="2.42578125" bestFit="1" customWidth="1"/>
    <col min="64" max="64" width="2.140625" bestFit="1" customWidth="1"/>
    <col min="65" max="70" width="1.7109375" bestFit="1" customWidth="1"/>
    <col min="71" max="71" width="1.85546875" customWidth="1"/>
    <col min="72" max="73" width="1.7109375" bestFit="1" customWidth="1"/>
    <col min="74" max="74" width="2.140625" bestFit="1" customWidth="1"/>
    <col min="75" max="75" width="1.85546875" bestFit="1" customWidth="1"/>
    <col min="76" max="83" width="2.140625" bestFit="1" customWidth="1"/>
    <col min="84" max="84" width="2.42578125" bestFit="1" customWidth="1"/>
    <col min="85" max="85" width="2.140625" bestFit="1" customWidth="1"/>
    <col min="86" max="92" width="2.42578125" bestFit="1" customWidth="1"/>
    <col min="93" max="99" width="2.5703125" customWidth="1"/>
  </cols>
  <sheetData>
    <row r="1" spans="1:99" ht="36" customHeight="1" x14ac:dyDescent="0.4">
      <c r="B1" s="43"/>
      <c r="C1" s="1"/>
      <c r="D1" s="2"/>
      <c r="E1" s="13"/>
      <c r="F1" s="14"/>
      <c r="G1" s="22"/>
      <c r="H1" s="2"/>
      <c r="I1" s="5"/>
    </row>
    <row r="2" spans="1:99" ht="24.75" customHeight="1" x14ac:dyDescent="0.25">
      <c r="B2" s="43"/>
      <c r="D2" s="4" t="s">
        <v>0</v>
      </c>
      <c r="E2" s="44">
        <v>46206</v>
      </c>
      <c r="F2" s="45"/>
      <c r="G2" s="22"/>
    </row>
    <row r="3" spans="1:99" ht="19.5" customHeight="1" x14ac:dyDescent="0.3">
      <c r="B3" s="6"/>
      <c r="D3" s="4" t="s">
        <v>3</v>
      </c>
      <c r="E3" s="44">
        <f ca="1">TODAY()</f>
        <v>46224</v>
      </c>
      <c r="F3" s="45"/>
      <c r="G3" s="22"/>
    </row>
    <row r="4" spans="1:99" ht="25.5" customHeight="1" thickBot="1" x14ac:dyDescent="0.5">
      <c r="B4" s="8"/>
      <c r="D4" s="4" t="s">
        <v>2</v>
      </c>
      <c r="E4" s="21">
        <v>2</v>
      </c>
      <c r="G4" s="22"/>
      <c r="I4" s="37">
        <f>I5</f>
        <v>46209</v>
      </c>
      <c r="J4" s="38"/>
      <c r="K4" s="38"/>
      <c r="L4" s="38"/>
      <c r="M4" s="38"/>
      <c r="N4" s="38"/>
      <c r="O4" s="39"/>
      <c r="P4" s="37">
        <f>P5</f>
        <v>46216</v>
      </c>
      <c r="Q4" s="38"/>
      <c r="R4" s="38"/>
      <c r="S4" s="38"/>
      <c r="T4" s="38"/>
      <c r="U4" s="38"/>
      <c r="V4" s="39"/>
      <c r="W4" s="37">
        <f>W5</f>
        <v>46223</v>
      </c>
      <c r="X4" s="38"/>
      <c r="Y4" s="38"/>
      <c r="Z4" s="38"/>
      <c r="AA4" s="38"/>
      <c r="AB4" s="38"/>
      <c r="AC4" s="39"/>
      <c r="AD4" s="37">
        <f>AD5</f>
        <v>46230</v>
      </c>
      <c r="AE4" s="38"/>
      <c r="AF4" s="38"/>
      <c r="AG4" s="38"/>
      <c r="AH4" s="38"/>
      <c r="AI4" s="38"/>
      <c r="AJ4" s="39"/>
      <c r="AK4" s="37">
        <f>AK5</f>
        <v>46237</v>
      </c>
      <c r="AL4" s="38"/>
      <c r="AM4" s="38"/>
      <c r="AN4" s="38"/>
      <c r="AO4" s="38"/>
      <c r="AP4" s="38"/>
      <c r="AQ4" s="39"/>
      <c r="AR4" s="37">
        <f>AR5</f>
        <v>46244</v>
      </c>
      <c r="AS4" s="38"/>
      <c r="AT4" s="38"/>
      <c r="AU4" s="38"/>
      <c r="AV4" s="38"/>
      <c r="AW4" s="38"/>
      <c r="AX4" s="39"/>
      <c r="AY4" s="37">
        <f>AY5</f>
        <v>46251</v>
      </c>
      <c r="AZ4" s="38"/>
      <c r="BA4" s="38"/>
      <c r="BB4" s="38"/>
      <c r="BC4" s="38"/>
      <c r="BD4" s="38"/>
      <c r="BE4" s="39"/>
      <c r="BF4" s="37">
        <f>BF5</f>
        <v>46258</v>
      </c>
      <c r="BG4" s="38"/>
      <c r="BH4" s="38"/>
      <c r="BI4" s="38"/>
      <c r="BJ4" s="38"/>
      <c r="BK4" s="38"/>
      <c r="BL4" s="39"/>
      <c r="BM4" s="37">
        <f>BM5</f>
        <v>46265</v>
      </c>
      <c r="BN4" s="38"/>
      <c r="BO4" s="38"/>
      <c r="BP4" s="38"/>
      <c r="BQ4" s="38"/>
      <c r="BR4" s="38"/>
      <c r="BS4" s="39"/>
      <c r="BT4" s="37">
        <f t="shared" ref="BT4" si="0">BT5</f>
        <v>46272</v>
      </c>
      <c r="BU4" s="38"/>
      <c r="BV4" s="38"/>
      <c r="BW4" s="38"/>
      <c r="BX4" s="38"/>
      <c r="BY4" s="38"/>
      <c r="BZ4" s="39"/>
      <c r="CA4" s="37">
        <f t="shared" ref="CA4" si="1">CA5</f>
        <v>46279</v>
      </c>
      <c r="CB4" s="38"/>
      <c r="CC4" s="38"/>
      <c r="CD4" s="38"/>
      <c r="CE4" s="38"/>
      <c r="CF4" s="38"/>
      <c r="CG4" s="39"/>
      <c r="CH4" s="37">
        <f t="shared" ref="CH4" si="2">CH5</f>
        <v>46286</v>
      </c>
      <c r="CI4" s="38"/>
      <c r="CJ4" s="38"/>
      <c r="CK4" s="38"/>
      <c r="CL4" s="38"/>
      <c r="CM4" s="38"/>
      <c r="CN4" s="39"/>
      <c r="CO4" s="37">
        <f t="shared" ref="CO4" si="3">CO5</f>
        <v>46293</v>
      </c>
      <c r="CP4" s="38"/>
      <c r="CQ4" s="38"/>
      <c r="CR4" s="38"/>
      <c r="CS4" s="38"/>
      <c r="CT4" s="38"/>
      <c r="CU4" s="39"/>
    </row>
    <row r="5" spans="1:99" ht="21.75" thickBot="1" x14ac:dyDescent="0.3">
      <c r="A5" s="4"/>
      <c r="B5" s="46" t="s">
        <v>12</v>
      </c>
      <c r="C5" s="47"/>
      <c r="G5" s="23"/>
      <c r="I5" s="27">
        <f>E2-WEEKDAY(E2,1)+2+7*(E4-1)</f>
        <v>46209</v>
      </c>
      <c r="J5" s="28">
        <f>I5+1</f>
        <v>46210</v>
      </c>
      <c r="K5" s="28">
        <f t="shared" ref="K5:AX5" si="4">J5+1</f>
        <v>46211</v>
      </c>
      <c r="L5" s="28">
        <f t="shared" si="4"/>
        <v>46212</v>
      </c>
      <c r="M5" s="28">
        <f t="shared" si="4"/>
        <v>46213</v>
      </c>
      <c r="N5" s="28">
        <f t="shared" si="4"/>
        <v>46214</v>
      </c>
      <c r="O5" s="29">
        <f t="shared" si="4"/>
        <v>46215</v>
      </c>
      <c r="P5" s="27">
        <f>O5+1</f>
        <v>46216</v>
      </c>
      <c r="Q5" s="28">
        <f>P5+1</f>
        <v>46217</v>
      </c>
      <c r="R5" s="28">
        <f t="shared" si="4"/>
        <v>46218</v>
      </c>
      <c r="S5" s="28">
        <f t="shared" si="4"/>
        <v>46219</v>
      </c>
      <c r="T5" s="28">
        <f t="shared" si="4"/>
        <v>46220</v>
      </c>
      <c r="U5" s="28">
        <f t="shared" si="4"/>
        <v>46221</v>
      </c>
      <c r="V5" s="29">
        <f t="shared" si="4"/>
        <v>46222</v>
      </c>
      <c r="W5" s="27">
        <f>V5+1</f>
        <v>46223</v>
      </c>
      <c r="X5" s="28">
        <f>W5+1</f>
        <v>46224</v>
      </c>
      <c r="Y5" s="28">
        <f t="shared" si="4"/>
        <v>46225</v>
      </c>
      <c r="Z5" s="28">
        <f t="shared" si="4"/>
        <v>46226</v>
      </c>
      <c r="AA5" s="28">
        <f t="shared" si="4"/>
        <v>46227</v>
      </c>
      <c r="AB5" s="28">
        <f t="shared" si="4"/>
        <v>46228</v>
      </c>
      <c r="AC5" s="29">
        <f t="shared" si="4"/>
        <v>46229</v>
      </c>
      <c r="AD5" s="27">
        <f>AC5+1</f>
        <v>46230</v>
      </c>
      <c r="AE5" s="28">
        <f>AD5+1</f>
        <v>46231</v>
      </c>
      <c r="AF5" s="28">
        <f t="shared" si="4"/>
        <v>46232</v>
      </c>
      <c r="AG5" s="28">
        <f t="shared" si="4"/>
        <v>46233</v>
      </c>
      <c r="AH5" s="28">
        <f t="shared" si="4"/>
        <v>46234</v>
      </c>
      <c r="AI5" s="28">
        <f t="shared" si="4"/>
        <v>46235</v>
      </c>
      <c r="AJ5" s="29">
        <f t="shared" si="4"/>
        <v>46236</v>
      </c>
      <c r="AK5" s="27">
        <f>AJ5+1</f>
        <v>46237</v>
      </c>
      <c r="AL5" s="28">
        <f>AK5+1</f>
        <v>46238</v>
      </c>
      <c r="AM5" s="28">
        <f t="shared" si="4"/>
        <v>46239</v>
      </c>
      <c r="AN5" s="28">
        <f t="shared" si="4"/>
        <v>46240</v>
      </c>
      <c r="AO5" s="28">
        <f t="shared" si="4"/>
        <v>46241</v>
      </c>
      <c r="AP5" s="28">
        <f t="shared" si="4"/>
        <v>46242</v>
      </c>
      <c r="AQ5" s="29">
        <f t="shared" si="4"/>
        <v>46243</v>
      </c>
      <c r="AR5" s="27">
        <f>AQ5+1</f>
        <v>46244</v>
      </c>
      <c r="AS5" s="28">
        <f>AR5+1</f>
        <v>46245</v>
      </c>
      <c r="AT5" s="28">
        <f t="shared" si="4"/>
        <v>46246</v>
      </c>
      <c r="AU5" s="28">
        <f t="shared" si="4"/>
        <v>46247</v>
      </c>
      <c r="AV5" s="28">
        <f t="shared" si="4"/>
        <v>46248</v>
      </c>
      <c r="AW5" s="28">
        <f t="shared" si="4"/>
        <v>46249</v>
      </c>
      <c r="AX5" s="29">
        <f t="shared" si="4"/>
        <v>46250</v>
      </c>
      <c r="AY5" s="27">
        <f>AX5+1</f>
        <v>46251</v>
      </c>
      <c r="AZ5" s="28">
        <f>AY5+1</f>
        <v>46252</v>
      </c>
      <c r="BA5" s="28">
        <f t="shared" ref="BA5:BE5" si="5">AZ5+1</f>
        <v>46253</v>
      </c>
      <c r="BB5" s="28">
        <f t="shared" si="5"/>
        <v>46254</v>
      </c>
      <c r="BC5" s="28">
        <f t="shared" si="5"/>
        <v>46255</v>
      </c>
      <c r="BD5" s="28">
        <f t="shared" si="5"/>
        <v>46256</v>
      </c>
      <c r="BE5" s="29">
        <f t="shared" si="5"/>
        <v>46257</v>
      </c>
      <c r="BF5" s="27">
        <f>BE5+1</f>
        <v>46258</v>
      </c>
      <c r="BG5" s="28">
        <f>BF5+1</f>
        <v>46259</v>
      </c>
      <c r="BH5" s="28">
        <f t="shared" ref="BH5:BL5" si="6">BG5+1</f>
        <v>46260</v>
      </c>
      <c r="BI5" s="28">
        <f t="shared" si="6"/>
        <v>46261</v>
      </c>
      <c r="BJ5" s="28">
        <f t="shared" si="6"/>
        <v>46262</v>
      </c>
      <c r="BK5" s="28">
        <f t="shared" si="6"/>
        <v>46263</v>
      </c>
      <c r="BL5" s="29">
        <f t="shared" si="6"/>
        <v>46264</v>
      </c>
      <c r="BM5" s="27">
        <f>BL5+1</f>
        <v>46265</v>
      </c>
      <c r="BN5" s="28">
        <f>BM5+1</f>
        <v>46266</v>
      </c>
      <c r="BO5" s="28">
        <f t="shared" ref="BO5:CN5" si="7">BN5+1</f>
        <v>46267</v>
      </c>
      <c r="BP5" s="28">
        <f t="shared" si="7"/>
        <v>46268</v>
      </c>
      <c r="BQ5" s="28">
        <f t="shared" si="7"/>
        <v>46269</v>
      </c>
      <c r="BR5" s="28">
        <f t="shared" si="7"/>
        <v>46270</v>
      </c>
      <c r="BS5" s="29">
        <f t="shared" si="7"/>
        <v>46271</v>
      </c>
      <c r="BT5" s="27">
        <f t="shared" si="7"/>
        <v>46272</v>
      </c>
      <c r="BU5" s="28">
        <f t="shared" si="7"/>
        <v>46273</v>
      </c>
      <c r="BV5" s="28">
        <f t="shared" si="7"/>
        <v>46274</v>
      </c>
      <c r="BW5" s="28">
        <f t="shared" si="7"/>
        <v>46275</v>
      </c>
      <c r="BX5" s="28">
        <f t="shared" si="7"/>
        <v>46276</v>
      </c>
      <c r="BY5" s="28">
        <f t="shared" si="7"/>
        <v>46277</v>
      </c>
      <c r="BZ5" s="29">
        <f t="shared" si="7"/>
        <v>46278</v>
      </c>
      <c r="CA5" s="27">
        <f t="shared" si="7"/>
        <v>46279</v>
      </c>
      <c r="CB5" s="28">
        <f t="shared" si="7"/>
        <v>46280</v>
      </c>
      <c r="CC5" s="28">
        <f t="shared" si="7"/>
        <v>46281</v>
      </c>
      <c r="CD5" s="28">
        <f t="shared" si="7"/>
        <v>46282</v>
      </c>
      <c r="CE5" s="28">
        <f t="shared" si="7"/>
        <v>46283</v>
      </c>
      <c r="CF5" s="28">
        <f t="shared" si="7"/>
        <v>46284</v>
      </c>
      <c r="CG5" s="29">
        <f t="shared" si="7"/>
        <v>46285</v>
      </c>
      <c r="CH5" s="27">
        <f t="shared" si="7"/>
        <v>46286</v>
      </c>
      <c r="CI5" s="28">
        <f t="shared" si="7"/>
        <v>46287</v>
      </c>
      <c r="CJ5" s="28">
        <f t="shared" si="7"/>
        <v>46288</v>
      </c>
      <c r="CK5" s="28">
        <f t="shared" si="7"/>
        <v>46289</v>
      </c>
      <c r="CL5" s="28">
        <f t="shared" si="7"/>
        <v>46290</v>
      </c>
      <c r="CM5" s="28">
        <f t="shared" si="7"/>
        <v>46291</v>
      </c>
      <c r="CN5" s="29">
        <f t="shared" si="7"/>
        <v>46292</v>
      </c>
      <c r="CO5" s="27">
        <f t="shared" ref="CO5" si="8">CN5+1</f>
        <v>46293</v>
      </c>
      <c r="CP5" s="28">
        <f t="shared" ref="CP5" si="9">CO5+1</f>
        <v>46294</v>
      </c>
      <c r="CQ5" s="28">
        <f t="shared" ref="CQ5" si="10">CP5+1</f>
        <v>46295</v>
      </c>
      <c r="CR5" s="28">
        <f t="shared" ref="CR5" si="11">CQ5+1</f>
        <v>46296</v>
      </c>
      <c r="CS5" s="28">
        <f t="shared" ref="CS5" si="12">CR5+1</f>
        <v>46297</v>
      </c>
      <c r="CT5" s="28">
        <f t="shared" ref="CT5" si="13">CS5+1</f>
        <v>46298</v>
      </c>
      <c r="CU5" s="29">
        <f t="shared" ref="CU5" si="14">CT5+1</f>
        <v>46299</v>
      </c>
    </row>
    <row r="6" spans="1:99" ht="29.25" customHeight="1" thickBot="1" x14ac:dyDescent="0.3">
      <c r="A6" s="9"/>
      <c r="B6" s="35" t="s">
        <v>6</v>
      </c>
      <c r="C6" s="36" t="s">
        <v>8</v>
      </c>
      <c r="D6" s="19" t="s">
        <v>7</v>
      </c>
      <c r="E6" s="20" t="s">
        <v>4</v>
      </c>
      <c r="F6" s="20" t="s">
        <v>5</v>
      </c>
      <c r="G6" s="24"/>
      <c r="H6" s="7" t="s">
        <v>1</v>
      </c>
      <c r="I6" s="30" t="str">
        <f t="shared" ref="I6:BT6" si="15">LEFT(TEXT(I5,"ddd"),1)</f>
        <v>s</v>
      </c>
      <c r="J6" s="30" t="str">
        <f t="shared" si="15"/>
        <v>t</v>
      </c>
      <c r="K6" s="30" t="str">
        <f t="shared" si="15"/>
        <v>q</v>
      </c>
      <c r="L6" s="30" t="str">
        <f t="shared" si="15"/>
        <v>q</v>
      </c>
      <c r="M6" s="30" t="str">
        <f t="shared" si="15"/>
        <v>s</v>
      </c>
      <c r="N6" s="30" t="str">
        <f t="shared" si="15"/>
        <v>s</v>
      </c>
      <c r="O6" s="30" t="str">
        <f t="shared" si="15"/>
        <v>d</v>
      </c>
      <c r="P6" s="30" t="str">
        <f t="shared" si="15"/>
        <v>s</v>
      </c>
      <c r="Q6" s="30" t="str">
        <f t="shared" si="15"/>
        <v>t</v>
      </c>
      <c r="R6" s="30" t="str">
        <f t="shared" si="15"/>
        <v>q</v>
      </c>
      <c r="S6" s="30" t="str">
        <f t="shared" si="15"/>
        <v>q</v>
      </c>
      <c r="T6" s="30" t="str">
        <f t="shared" si="15"/>
        <v>s</v>
      </c>
      <c r="U6" s="30" t="str">
        <f t="shared" si="15"/>
        <v>s</v>
      </c>
      <c r="V6" s="30" t="str">
        <f t="shared" si="15"/>
        <v>d</v>
      </c>
      <c r="W6" s="30" t="str">
        <f t="shared" si="15"/>
        <v>s</v>
      </c>
      <c r="X6" s="30" t="str">
        <f t="shared" si="15"/>
        <v>t</v>
      </c>
      <c r="Y6" s="30" t="str">
        <f t="shared" si="15"/>
        <v>q</v>
      </c>
      <c r="Z6" s="30" t="str">
        <f t="shared" si="15"/>
        <v>q</v>
      </c>
      <c r="AA6" s="30" t="str">
        <f t="shared" si="15"/>
        <v>s</v>
      </c>
      <c r="AB6" s="30" t="str">
        <f t="shared" si="15"/>
        <v>s</v>
      </c>
      <c r="AC6" s="30" t="str">
        <f t="shared" si="15"/>
        <v>d</v>
      </c>
      <c r="AD6" s="30" t="str">
        <f t="shared" si="15"/>
        <v>s</v>
      </c>
      <c r="AE6" s="30" t="str">
        <f t="shared" si="15"/>
        <v>t</v>
      </c>
      <c r="AF6" s="30" t="str">
        <f t="shared" si="15"/>
        <v>q</v>
      </c>
      <c r="AG6" s="30" t="str">
        <f t="shared" si="15"/>
        <v>q</v>
      </c>
      <c r="AH6" s="30" t="str">
        <f t="shared" si="15"/>
        <v>s</v>
      </c>
      <c r="AI6" s="30" t="str">
        <f t="shared" si="15"/>
        <v>s</v>
      </c>
      <c r="AJ6" s="30" t="str">
        <f t="shared" si="15"/>
        <v>d</v>
      </c>
      <c r="AK6" s="30" t="str">
        <f t="shared" si="15"/>
        <v>s</v>
      </c>
      <c r="AL6" s="30" t="str">
        <f t="shared" si="15"/>
        <v>t</v>
      </c>
      <c r="AM6" s="30" t="str">
        <f t="shared" si="15"/>
        <v>q</v>
      </c>
      <c r="AN6" s="30" t="str">
        <f t="shared" si="15"/>
        <v>q</v>
      </c>
      <c r="AO6" s="30" t="str">
        <f t="shared" si="15"/>
        <v>s</v>
      </c>
      <c r="AP6" s="30" t="str">
        <f t="shared" si="15"/>
        <v>s</v>
      </c>
      <c r="AQ6" s="30" t="str">
        <f t="shared" si="15"/>
        <v>d</v>
      </c>
      <c r="AR6" s="30" t="str">
        <f t="shared" si="15"/>
        <v>s</v>
      </c>
      <c r="AS6" s="30" t="str">
        <f t="shared" si="15"/>
        <v>t</v>
      </c>
      <c r="AT6" s="30" t="str">
        <f t="shared" si="15"/>
        <v>q</v>
      </c>
      <c r="AU6" s="30" t="str">
        <f t="shared" si="15"/>
        <v>q</v>
      </c>
      <c r="AV6" s="30" t="str">
        <f t="shared" si="15"/>
        <v>s</v>
      </c>
      <c r="AW6" s="30" t="str">
        <f t="shared" si="15"/>
        <v>s</v>
      </c>
      <c r="AX6" s="30" t="str">
        <f t="shared" si="15"/>
        <v>d</v>
      </c>
      <c r="AY6" s="30" t="str">
        <f t="shared" si="15"/>
        <v>s</v>
      </c>
      <c r="AZ6" s="30" t="str">
        <f t="shared" si="15"/>
        <v>t</v>
      </c>
      <c r="BA6" s="30" t="str">
        <f t="shared" si="15"/>
        <v>q</v>
      </c>
      <c r="BB6" s="30" t="str">
        <f t="shared" si="15"/>
        <v>q</v>
      </c>
      <c r="BC6" s="30" t="str">
        <f t="shared" si="15"/>
        <v>s</v>
      </c>
      <c r="BD6" s="30" t="str">
        <f t="shared" si="15"/>
        <v>s</v>
      </c>
      <c r="BE6" s="30" t="str">
        <f t="shared" si="15"/>
        <v>d</v>
      </c>
      <c r="BF6" s="30" t="str">
        <f t="shared" si="15"/>
        <v>s</v>
      </c>
      <c r="BG6" s="30" t="str">
        <f t="shared" si="15"/>
        <v>t</v>
      </c>
      <c r="BH6" s="30" t="str">
        <f t="shared" si="15"/>
        <v>q</v>
      </c>
      <c r="BI6" s="30" t="str">
        <f t="shared" si="15"/>
        <v>q</v>
      </c>
      <c r="BJ6" s="30" t="str">
        <f t="shared" si="15"/>
        <v>s</v>
      </c>
      <c r="BK6" s="30" t="str">
        <f t="shared" si="15"/>
        <v>s</v>
      </c>
      <c r="BL6" s="30" t="str">
        <f t="shared" si="15"/>
        <v>d</v>
      </c>
      <c r="BM6" s="30" t="str">
        <f t="shared" si="15"/>
        <v>s</v>
      </c>
      <c r="BN6" s="30" t="str">
        <f t="shared" si="15"/>
        <v>t</v>
      </c>
      <c r="BO6" s="30" t="str">
        <f t="shared" si="15"/>
        <v>q</v>
      </c>
      <c r="BP6" s="30" t="str">
        <f t="shared" si="15"/>
        <v>q</v>
      </c>
      <c r="BQ6" s="30" t="str">
        <f t="shared" si="15"/>
        <v>s</v>
      </c>
      <c r="BR6" s="30" t="str">
        <f t="shared" si="15"/>
        <v>s</v>
      </c>
      <c r="BS6" s="30" t="str">
        <f t="shared" si="15"/>
        <v>d</v>
      </c>
      <c r="BT6" s="30" t="str">
        <f t="shared" si="15"/>
        <v>s</v>
      </c>
      <c r="BU6" s="30" t="str">
        <f t="shared" ref="BU6:CN6" si="16">LEFT(TEXT(BU5,"ddd"),1)</f>
        <v>t</v>
      </c>
      <c r="BV6" s="30" t="str">
        <f t="shared" si="16"/>
        <v>q</v>
      </c>
      <c r="BW6" s="30" t="str">
        <f t="shared" si="16"/>
        <v>q</v>
      </c>
      <c r="BX6" s="30" t="str">
        <f t="shared" si="16"/>
        <v>s</v>
      </c>
      <c r="BY6" s="30" t="str">
        <f t="shared" si="16"/>
        <v>s</v>
      </c>
      <c r="BZ6" s="30" t="str">
        <f t="shared" si="16"/>
        <v>d</v>
      </c>
      <c r="CA6" s="30" t="str">
        <f t="shared" si="16"/>
        <v>s</v>
      </c>
      <c r="CB6" s="30" t="str">
        <f t="shared" si="16"/>
        <v>t</v>
      </c>
      <c r="CC6" s="30" t="str">
        <f t="shared" si="16"/>
        <v>q</v>
      </c>
      <c r="CD6" s="30" t="str">
        <f t="shared" si="16"/>
        <v>q</v>
      </c>
      <c r="CE6" s="30" t="str">
        <f t="shared" si="16"/>
        <v>s</v>
      </c>
      <c r="CF6" s="30" t="str">
        <f t="shared" si="16"/>
        <v>s</v>
      </c>
      <c r="CG6" s="30" t="str">
        <f t="shared" si="16"/>
        <v>d</v>
      </c>
      <c r="CH6" s="30" t="str">
        <f t="shared" si="16"/>
        <v>s</v>
      </c>
      <c r="CI6" s="30" t="str">
        <f t="shared" si="16"/>
        <v>t</v>
      </c>
      <c r="CJ6" s="30" t="str">
        <f t="shared" si="16"/>
        <v>q</v>
      </c>
      <c r="CK6" s="30" t="str">
        <f t="shared" si="16"/>
        <v>q</v>
      </c>
      <c r="CL6" s="30" t="str">
        <f t="shared" si="16"/>
        <v>s</v>
      </c>
      <c r="CM6" s="30" t="str">
        <f t="shared" si="16"/>
        <v>s</v>
      </c>
      <c r="CN6" s="30" t="str">
        <f t="shared" si="16"/>
        <v>d</v>
      </c>
      <c r="CO6" s="30" t="str">
        <f t="shared" ref="CO6:CU6" si="17">LEFT(TEXT(CO5,"ddd"),1)</f>
        <v>s</v>
      </c>
      <c r="CP6" s="30" t="str">
        <f t="shared" si="17"/>
        <v>t</v>
      </c>
      <c r="CQ6" s="30" t="str">
        <f t="shared" si="17"/>
        <v>q</v>
      </c>
      <c r="CR6" s="30" t="str">
        <f t="shared" si="17"/>
        <v>q</v>
      </c>
      <c r="CS6" s="30" t="str">
        <f t="shared" si="17"/>
        <v>s</v>
      </c>
      <c r="CT6" s="30" t="str">
        <f t="shared" si="17"/>
        <v>s</v>
      </c>
      <c r="CU6" s="30" t="str">
        <f t="shared" si="17"/>
        <v>d</v>
      </c>
    </row>
    <row r="7" spans="1:99" s="3" customFormat="1" ht="21.75" customHeight="1" thickBot="1" x14ac:dyDescent="0.3">
      <c r="A7" s="9"/>
      <c r="B7" s="34"/>
      <c r="C7" s="10"/>
      <c r="D7" s="40">
        <f>((D8+D1++D10+D11++D12+D13)/5)</f>
        <v>0.1</v>
      </c>
      <c r="E7" s="41"/>
      <c r="F7" s="42"/>
      <c r="G7" s="25"/>
      <c r="H7" s="11" t="str">
        <f t="shared" ref="H7:H15" si="18">IF(OR(ISBLANK(task_start),ISBLANK(task_end)),"",task_end-task_start+1)</f>
        <v/>
      </c>
      <c r="I7" s="12"/>
      <c r="J7" s="12"/>
      <c r="K7" s="12"/>
      <c r="L7" s="12"/>
      <c r="M7" s="12"/>
      <c r="N7" s="12"/>
      <c r="O7" s="12"/>
      <c r="P7" s="12"/>
      <c r="Q7" s="26"/>
      <c r="R7" s="26"/>
      <c r="S7" s="26"/>
      <c r="T7" s="26"/>
      <c r="U7" s="26"/>
      <c r="V7" s="26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</row>
    <row r="8" spans="1:99" s="3" customFormat="1" ht="26.25" customHeight="1" thickBot="1" x14ac:dyDescent="0.3">
      <c r="A8" s="9"/>
      <c r="B8" s="49" t="s">
        <v>13</v>
      </c>
      <c r="C8" s="33" t="s">
        <v>9</v>
      </c>
      <c r="D8" s="31">
        <v>0.5</v>
      </c>
      <c r="E8" s="32">
        <v>46206</v>
      </c>
      <c r="F8" s="32">
        <v>46234</v>
      </c>
      <c r="G8" s="25"/>
      <c r="H8" s="11">
        <f t="shared" si="18"/>
        <v>29</v>
      </c>
      <c r="I8" s="12"/>
      <c r="J8" s="12"/>
      <c r="K8" s="12"/>
      <c r="L8" s="12"/>
      <c r="M8" s="12"/>
      <c r="N8" s="12"/>
      <c r="O8" s="12"/>
      <c r="P8" s="12"/>
      <c r="Q8" s="26"/>
      <c r="R8" s="26"/>
      <c r="S8" s="26"/>
      <c r="T8" s="26"/>
      <c r="U8" s="26"/>
      <c r="V8" s="26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</row>
    <row r="9" spans="1:99" s="3" customFormat="1" ht="26.25" customHeight="1" thickBot="1" x14ac:dyDescent="0.3">
      <c r="A9" s="9"/>
      <c r="B9" s="49" t="s">
        <v>14</v>
      </c>
      <c r="C9" s="33" t="s">
        <v>10</v>
      </c>
      <c r="D9" s="31">
        <v>0</v>
      </c>
      <c r="E9" s="32">
        <v>46230</v>
      </c>
      <c r="F9" s="32">
        <v>46234</v>
      </c>
      <c r="G9" s="25"/>
      <c r="H9" s="11">
        <f t="shared" si="18"/>
        <v>5</v>
      </c>
      <c r="I9" s="12"/>
      <c r="J9" s="12"/>
      <c r="K9" s="12"/>
      <c r="L9" s="12"/>
      <c r="M9" s="12"/>
      <c r="N9" s="12"/>
      <c r="O9" s="12"/>
      <c r="P9" s="12"/>
      <c r="Q9" s="26"/>
      <c r="R9" s="26"/>
      <c r="S9" s="26"/>
      <c r="T9" s="26"/>
      <c r="U9" s="26"/>
      <c r="V9" s="26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</row>
    <row r="10" spans="1:99" s="3" customFormat="1" ht="26.25" customHeight="1" thickBot="1" x14ac:dyDescent="0.3">
      <c r="A10" s="9"/>
      <c r="B10" s="49" t="s">
        <v>15</v>
      </c>
      <c r="C10" s="33" t="s">
        <v>9</v>
      </c>
      <c r="D10" s="18">
        <v>0</v>
      </c>
      <c r="E10" s="32">
        <v>46234</v>
      </c>
      <c r="F10" s="17">
        <v>46246</v>
      </c>
      <c r="G10" s="25"/>
      <c r="H10" s="11">
        <f t="shared" si="18"/>
        <v>13</v>
      </c>
      <c r="I10" s="12"/>
      <c r="J10" s="12"/>
      <c r="K10" s="12"/>
      <c r="L10" s="12"/>
      <c r="M10" s="12"/>
      <c r="N10" s="12"/>
      <c r="O10" s="12"/>
      <c r="P10" s="12"/>
      <c r="Q10" s="26"/>
      <c r="R10" s="26"/>
      <c r="S10" s="26"/>
      <c r="T10" s="26"/>
      <c r="U10" s="26"/>
      <c r="V10" s="26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</row>
    <row r="11" spans="1:99" s="3" customFormat="1" ht="26.25" customHeight="1" thickBot="1" x14ac:dyDescent="0.3">
      <c r="A11" s="9"/>
      <c r="B11" s="49" t="s">
        <v>16</v>
      </c>
      <c r="C11" s="33" t="s">
        <v>9</v>
      </c>
      <c r="D11" s="18">
        <v>0</v>
      </c>
      <c r="E11" s="17">
        <v>46237</v>
      </c>
      <c r="F11" s="17">
        <v>46269</v>
      </c>
      <c r="G11" s="25"/>
      <c r="H11" s="11">
        <f t="shared" si="18"/>
        <v>33</v>
      </c>
      <c r="I11" s="12"/>
      <c r="J11" s="12"/>
      <c r="K11" s="12"/>
      <c r="L11" s="12"/>
      <c r="M11" s="12"/>
      <c r="N11" s="12"/>
      <c r="O11" s="12"/>
      <c r="P11" s="12"/>
      <c r="Q11" s="26"/>
      <c r="R11" s="26"/>
      <c r="S11" s="26"/>
      <c r="T11" s="26"/>
      <c r="U11" s="26"/>
      <c r="V11" s="26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</row>
    <row r="12" spans="1:99" s="3" customFormat="1" ht="26.25" customHeight="1" thickBot="1" x14ac:dyDescent="0.3">
      <c r="A12" s="9"/>
      <c r="B12" s="49" t="s">
        <v>17</v>
      </c>
      <c r="C12" s="33" t="s">
        <v>9</v>
      </c>
      <c r="D12" s="18">
        <v>0</v>
      </c>
      <c r="E12" s="17">
        <v>46265</v>
      </c>
      <c r="F12" s="17">
        <v>46272</v>
      </c>
      <c r="G12" s="25"/>
      <c r="H12" s="11">
        <f t="shared" si="18"/>
        <v>8</v>
      </c>
      <c r="I12" s="12"/>
      <c r="J12" s="12"/>
      <c r="K12" s="12"/>
      <c r="L12" s="12"/>
      <c r="M12" s="12"/>
      <c r="N12" s="12"/>
      <c r="O12" s="12"/>
      <c r="P12" s="12"/>
      <c r="Q12" s="26"/>
      <c r="R12" s="26"/>
      <c r="S12" s="26"/>
      <c r="T12" s="26"/>
      <c r="U12" s="26"/>
      <c r="V12" s="26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</row>
    <row r="13" spans="1:99" ht="26.25" customHeight="1" thickBot="1" x14ac:dyDescent="0.3">
      <c r="B13" s="49" t="s">
        <v>18</v>
      </c>
      <c r="C13" s="33" t="s">
        <v>9</v>
      </c>
      <c r="D13" s="18">
        <v>0</v>
      </c>
      <c r="E13" s="17">
        <v>46272</v>
      </c>
      <c r="F13" s="17">
        <v>46274</v>
      </c>
      <c r="G13" s="25"/>
      <c r="H13" s="11">
        <f t="shared" si="18"/>
        <v>3</v>
      </c>
      <c r="I13" s="12"/>
      <c r="J13" s="12"/>
      <c r="K13" s="12"/>
      <c r="L13" s="12"/>
      <c r="M13" s="12"/>
      <c r="N13" s="12"/>
      <c r="O13" s="12"/>
      <c r="P13" s="12"/>
      <c r="Q13" s="26"/>
      <c r="R13" s="26"/>
      <c r="S13" s="26"/>
      <c r="T13" s="26"/>
      <c r="U13" s="26"/>
      <c r="V13" s="26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</row>
    <row r="14" spans="1:99" ht="26.25" customHeight="1" thickBot="1" x14ac:dyDescent="0.3">
      <c r="B14" s="50" t="s">
        <v>19</v>
      </c>
      <c r="C14" s="33" t="s">
        <v>10</v>
      </c>
      <c r="D14" s="18">
        <v>0</v>
      </c>
      <c r="E14" s="17">
        <v>46274</v>
      </c>
      <c r="F14" s="17">
        <v>46276</v>
      </c>
      <c r="G14" s="25"/>
      <c r="H14" s="11">
        <f t="shared" si="18"/>
        <v>3</v>
      </c>
      <c r="I14" s="12"/>
      <c r="J14" s="12"/>
      <c r="K14" s="12"/>
      <c r="L14" s="12"/>
      <c r="M14" s="12"/>
      <c r="N14" s="12"/>
      <c r="O14" s="12"/>
      <c r="P14" s="12"/>
      <c r="Q14" s="26"/>
      <c r="R14" s="26"/>
      <c r="S14" s="26"/>
      <c r="T14" s="26"/>
      <c r="U14" s="26"/>
      <c r="V14" s="26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</row>
    <row r="15" spans="1:99" ht="26.25" customHeight="1" thickBot="1" x14ac:dyDescent="0.3">
      <c r="B15" s="50" t="s">
        <v>11</v>
      </c>
      <c r="C15" s="33" t="s">
        <v>9</v>
      </c>
      <c r="D15" s="18">
        <v>0</v>
      </c>
      <c r="E15" s="17">
        <v>46276</v>
      </c>
      <c r="F15" s="17">
        <v>46276</v>
      </c>
      <c r="H15" s="11">
        <f t="shared" si="18"/>
        <v>1</v>
      </c>
      <c r="I15" s="12"/>
      <c r="J15" s="12"/>
      <c r="K15" s="12"/>
      <c r="L15" s="12"/>
      <c r="M15" s="12"/>
      <c r="N15" s="12"/>
      <c r="O15" s="12"/>
      <c r="P15" s="12"/>
      <c r="Q15" s="26"/>
      <c r="R15" s="26"/>
      <c r="S15" s="26"/>
      <c r="T15" s="26"/>
      <c r="U15" s="26"/>
      <c r="V15" s="26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</row>
    <row r="17" spans="4:6" x14ac:dyDescent="0.25">
      <c r="E17"/>
      <c r="F17"/>
    </row>
    <row r="18" spans="4:6" x14ac:dyDescent="0.25">
      <c r="E18"/>
      <c r="F18"/>
    </row>
    <row r="19" spans="4:6" x14ac:dyDescent="0.25">
      <c r="E19"/>
      <c r="F19"/>
    </row>
    <row r="20" spans="4:6" x14ac:dyDescent="0.25">
      <c r="E20"/>
      <c r="F20"/>
    </row>
    <row r="21" spans="4:6" x14ac:dyDescent="0.25">
      <c r="E21"/>
      <c r="F21"/>
    </row>
    <row r="22" spans="4:6" x14ac:dyDescent="0.25">
      <c r="E22"/>
      <c r="F22"/>
    </row>
    <row r="23" spans="4:6" x14ac:dyDescent="0.25">
      <c r="D23" s="48"/>
      <c r="E23" s="48"/>
      <c r="F23" s="48"/>
    </row>
    <row r="24" spans="4:6" x14ac:dyDescent="0.25">
      <c r="E24"/>
      <c r="F24"/>
    </row>
    <row r="25" spans="4:6" x14ac:dyDescent="0.25">
      <c r="E25"/>
      <c r="F25"/>
    </row>
    <row r="26" spans="4:6" x14ac:dyDescent="0.25">
      <c r="E26"/>
      <c r="F26"/>
    </row>
    <row r="27" spans="4:6" x14ac:dyDescent="0.25">
      <c r="E27"/>
      <c r="F27"/>
    </row>
    <row r="28" spans="4:6" x14ac:dyDescent="0.25">
      <c r="E28"/>
      <c r="F28"/>
    </row>
    <row r="29" spans="4:6" x14ac:dyDescent="0.25">
      <c r="E29"/>
      <c r="F29"/>
    </row>
    <row r="30" spans="4:6" x14ac:dyDescent="0.25">
      <c r="E30"/>
      <c r="F30"/>
    </row>
    <row r="31" spans="4:6" x14ac:dyDescent="0.25">
      <c r="E31"/>
      <c r="F31"/>
    </row>
    <row r="32" spans="4:6" x14ac:dyDescent="0.25">
      <c r="E32"/>
      <c r="F32"/>
    </row>
    <row r="33" spans="4:6" x14ac:dyDescent="0.25">
      <c r="E33"/>
      <c r="F33"/>
    </row>
    <row r="34" spans="4:6" x14ac:dyDescent="0.25">
      <c r="D34" s="48"/>
      <c r="E34" s="48"/>
      <c r="F34" s="48"/>
    </row>
    <row r="35" spans="4:6" x14ac:dyDescent="0.25">
      <c r="E35"/>
      <c r="F35"/>
    </row>
    <row r="36" spans="4:6" x14ac:dyDescent="0.25">
      <c r="E36"/>
      <c r="F36"/>
    </row>
    <row r="37" spans="4:6" x14ac:dyDescent="0.25">
      <c r="E37"/>
      <c r="F37"/>
    </row>
    <row r="38" spans="4:6" x14ac:dyDescent="0.25">
      <c r="E38"/>
      <c r="F38"/>
    </row>
    <row r="39" spans="4:6" x14ac:dyDescent="0.25">
      <c r="E39"/>
      <c r="F39"/>
    </row>
    <row r="40" spans="4:6" x14ac:dyDescent="0.25">
      <c r="E40"/>
      <c r="F40"/>
    </row>
    <row r="41" spans="4:6" x14ac:dyDescent="0.25">
      <c r="E41"/>
      <c r="F41"/>
    </row>
    <row r="42" spans="4:6" x14ac:dyDescent="0.25">
      <c r="E42"/>
      <c r="F42"/>
    </row>
    <row r="43" spans="4:6" x14ac:dyDescent="0.25">
      <c r="E43"/>
      <c r="F43"/>
    </row>
    <row r="44" spans="4:6" x14ac:dyDescent="0.25">
      <c r="E44"/>
      <c r="F44"/>
    </row>
    <row r="45" spans="4:6" x14ac:dyDescent="0.25">
      <c r="E45"/>
      <c r="F45"/>
    </row>
    <row r="46" spans="4:6" x14ac:dyDescent="0.25">
      <c r="E46"/>
      <c r="F46"/>
    </row>
    <row r="47" spans="4:6" x14ac:dyDescent="0.25">
      <c r="E47"/>
      <c r="F47"/>
    </row>
    <row r="48" spans="4:6" x14ac:dyDescent="0.25">
      <c r="E48"/>
      <c r="F48"/>
    </row>
    <row r="49" spans="5:6" x14ac:dyDescent="0.25">
      <c r="E49"/>
      <c r="F49"/>
    </row>
    <row r="50" spans="5:6" x14ac:dyDescent="0.25">
      <c r="E50"/>
      <c r="F50"/>
    </row>
    <row r="51" spans="5:6" x14ac:dyDescent="0.25">
      <c r="E51"/>
      <c r="F51"/>
    </row>
    <row r="52" spans="5:6" x14ac:dyDescent="0.25">
      <c r="E52"/>
      <c r="F52"/>
    </row>
    <row r="53" spans="5:6" x14ac:dyDescent="0.25">
      <c r="E53"/>
      <c r="F53"/>
    </row>
    <row r="54" spans="5:6" x14ac:dyDescent="0.25">
      <c r="E54"/>
      <c r="F54"/>
    </row>
    <row r="55" spans="5:6" x14ac:dyDescent="0.25">
      <c r="E55"/>
      <c r="F55"/>
    </row>
    <row r="56" spans="5:6" x14ac:dyDescent="0.25">
      <c r="E56"/>
      <c r="F56"/>
    </row>
    <row r="57" spans="5:6" x14ac:dyDescent="0.25">
      <c r="E57"/>
      <c r="F57"/>
    </row>
    <row r="58" spans="5:6" x14ac:dyDescent="0.25">
      <c r="E58"/>
      <c r="F58"/>
    </row>
    <row r="59" spans="5:6" x14ac:dyDescent="0.25">
      <c r="E59"/>
      <c r="F59"/>
    </row>
  </sheetData>
  <autoFilter ref="D1:D8" xr:uid="{00000000-0009-0000-0000-000005000000}"/>
  <mergeCells count="20">
    <mergeCell ref="B5:C5"/>
    <mergeCell ref="D23:F23"/>
    <mergeCell ref="D34:F34"/>
    <mergeCell ref="B1:B2"/>
    <mergeCell ref="AD4:AJ4"/>
    <mergeCell ref="E2:F2"/>
    <mergeCell ref="E3:F3"/>
    <mergeCell ref="I4:O4"/>
    <mergeCell ref="P4:V4"/>
    <mergeCell ref="W4:AC4"/>
    <mergeCell ref="CO4:CU4"/>
    <mergeCell ref="D7:F7"/>
    <mergeCell ref="CA4:CG4"/>
    <mergeCell ref="CH4:CN4"/>
    <mergeCell ref="AK4:AQ4"/>
    <mergeCell ref="AR4:AX4"/>
    <mergeCell ref="AY4:BE4"/>
    <mergeCell ref="BF4:BL4"/>
    <mergeCell ref="BM4:BS4"/>
    <mergeCell ref="BT4:BZ4"/>
  </mergeCells>
  <phoneticPr fontId="16" type="noConversion"/>
  <conditionalFormatting sqref="D8:D9">
    <cfRule type="dataBar" priority="13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{4F06D2C1-C2B4-4F2C-B956-2FCFF4A9F9EF}</x14:id>
        </ext>
      </extLst>
    </cfRule>
  </conditionalFormatting>
  <conditionalFormatting sqref="D10">
    <cfRule type="dataBar" priority="13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{7744B5F0-E418-4BBC-82D0-35004220D63E}</x14:id>
        </ext>
      </extLst>
    </cfRule>
  </conditionalFormatting>
  <conditionalFormatting sqref="D11 D14">
    <cfRule type="dataBar" priority="13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{4DF270C8-D240-4538-992E-5BABFE0AB76D}</x14:id>
        </ext>
      </extLst>
    </cfRule>
  </conditionalFormatting>
  <conditionalFormatting sqref="D12:D13 D7 D15">
    <cfRule type="dataBar" priority="5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{BA0241B9-135C-4753-91F2-E4DA8EE131E8}</x14:id>
        </ext>
      </extLst>
    </cfRule>
  </conditionalFormatting>
  <conditionalFormatting sqref="D23">
    <cfRule type="dataBar" priority="34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{F6028EDA-B48A-415B-BDCF-2D70FB335DA3}</x14:id>
        </ext>
      </extLst>
    </cfRule>
  </conditionalFormatting>
  <conditionalFormatting sqref="D24">
    <cfRule type="dataBar" priority="36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{74BBB2D4-80C0-4DBC-B49C-3A862DC98E53}</x14:id>
        </ext>
      </extLst>
    </cfRule>
  </conditionalFormatting>
  <conditionalFormatting sqref="D25">
    <cfRule type="dataBar" priority="36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{09310194-E5D9-4841-A473-B12A789E54F3}</x14:id>
        </ext>
      </extLst>
    </cfRule>
  </conditionalFormatting>
  <conditionalFormatting sqref="D26">
    <cfRule type="dataBar" priority="36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{8641D935-2B45-461C-9A51-DD15D10FBC63}</x14:id>
        </ext>
      </extLst>
    </cfRule>
  </conditionalFormatting>
  <conditionalFormatting sqref="D27:D30">
    <cfRule type="dataBar" priority="35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{6294E1DD-D63E-4DA0-A064-7D4A872C2FC9}</x14:id>
        </ext>
      </extLst>
    </cfRule>
  </conditionalFormatting>
  <conditionalFormatting sqref="D34">
    <cfRule type="dataBar" priority="34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{63869345-1982-4EED-9340-F464E422B1CE}</x14:id>
        </ext>
      </extLst>
    </cfRule>
  </conditionalFormatting>
  <conditionalFormatting sqref="D35">
    <cfRule type="dataBar" priority="35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{CE7E25CE-E4EE-4945-B3CB-49B674DC4A3E}</x14:id>
        </ext>
      </extLst>
    </cfRule>
  </conditionalFormatting>
  <conditionalFormatting sqref="D36">
    <cfRule type="dataBar" priority="35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{F5CC2C31-353F-4F92-A6B1-360BA3201B58}</x14:id>
        </ext>
      </extLst>
    </cfRule>
  </conditionalFormatting>
  <conditionalFormatting sqref="D37">
    <cfRule type="dataBar" priority="35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{10021F99-F773-47CA-8447-E5EA4238035F}</x14:id>
        </ext>
      </extLst>
    </cfRule>
  </conditionalFormatting>
  <conditionalFormatting sqref="D38:D41">
    <cfRule type="dataBar" priority="35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{D4E38761-F22D-463C-A9C2-7B55B2BBD1D7}</x14:id>
        </ext>
      </extLst>
    </cfRule>
  </conditionalFormatting>
  <conditionalFormatting sqref="E1:F6 E42:F1048576 E20:F22 E31:F33 E24:F25 E35:F36 E8:F10 E12:F16">
    <cfRule type="colorScale" priority="1338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1339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1340">
      <colorScale>
        <cfvo type="num" val="43722"/>
        <cfvo type="num" val="43723"/>
        <cfvo type="num" val="43724"/>
        <color rgb="FFF8696B"/>
        <color rgb="FFFFEB84"/>
        <color rgb="FF63BE7B"/>
      </colorScale>
    </cfRule>
    <cfRule type="colorScale" priority="1341">
      <colorScale>
        <cfvo type="num" val="43720"/>
        <cfvo type="num" val="43721"/>
        <cfvo type="num" val="43722"/>
        <color rgb="FFF8696B"/>
        <color rgb="FFFFEB84"/>
        <color rgb="FF63BE7B"/>
      </colorScale>
    </cfRule>
    <cfRule type="colorScale" priority="1342">
      <colorScale>
        <cfvo type="num" val="43724"/>
        <cfvo type="num" val="43725"/>
        <cfvo type="num" val="43726"/>
        <color rgb="FFF8696B"/>
        <color rgb="FFFFEB84"/>
        <color rgb="FF63BE7B"/>
      </colorScale>
    </cfRule>
  </conditionalFormatting>
  <conditionalFormatting sqref="E11:F11">
    <cfRule type="colorScale" priority="44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45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46">
      <colorScale>
        <cfvo type="num" val="43722"/>
        <cfvo type="num" val="43723"/>
        <cfvo type="num" val="43724"/>
        <color rgb="FFF8696B"/>
        <color rgb="FFFFEB84"/>
        <color rgb="FF63BE7B"/>
      </colorScale>
    </cfRule>
    <cfRule type="colorScale" priority="47">
      <colorScale>
        <cfvo type="num" val="43720"/>
        <cfvo type="num" val="43721"/>
        <cfvo type="num" val="43722"/>
        <color rgb="FFF8696B"/>
        <color rgb="FFFFEB84"/>
        <color rgb="FF63BE7B"/>
      </colorScale>
    </cfRule>
    <cfRule type="colorScale" priority="48">
      <colorScale>
        <cfvo type="num" val="43724"/>
        <cfvo type="num" val="43725"/>
        <cfvo type="num" val="43726"/>
        <color rgb="FFF8696B"/>
        <color rgb="FFFFEB84"/>
        <color rgb="FF63BE7B"/>
      </colorScale>
    </cfRule>
  </conditionalFormatting>
  <conditionalFormatting sqref="E26:F26">
    <cfRule type="colorScale" priority="287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88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89">
      <colorScale>
        <cfvo type="num" val="43722"/>
        <cfvo type="num" val="43723"/>
        <cfvo type="num" val="43724"/>
        <color rgb="FFF8696B"/>
        <color rgb="FFFFEB84"/>
        <color rgb="FF63BE7B"/>
      </colorScale>
    </cfRule>
    <cfRule type="colorScale" priority="290">
      <colorScale>
        <cfvo type="num" val="43720"/>
        <cfvo type="num" val="43721"/>
        <cfvo type="num" val="43722"/>
        <color rgb="FFF8696B"/>
        <color rgb="FFFFEB84"/>
        <color rgb="FF63BE7B"/>
      </colorScale>
    </cfRule>
    <cfRule type="colorScale" priority="291">
      <colorScale>
        <cfvo type="num" val="43724"/>
        <cfvo type="num" val="43725"/>
        <cfvo type="num" val="43726"/>
        <color rgb="FFF8696B"/>
        <color rgb="FFFFEB84"/>
        <color rgb="FF63BE7B"/>
      </colorScale>
    </cfRule>
  </conditionalFormatting>
  <conditionalFormatting sqref="E27:F30">
    <cfRule type="colorScale" priority="282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83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84">
      <colorScale>
        <cfvo type="num" val="43722"/>
        <cfvo type="num" val="43723"/>
        <cfvo type="num" val="43724"/>
        <color rgb="FFF8696B"/>
        <color rgb="FFFFEB84"/>
        <color rgb="FF63BE7B"/>
      </colorScale>
    </cfRule>
    <cfRule type="colorScale" priority="285">
      <colorScale>
        <cfvo type="num" val="43720"/>
        <cfvo type="num" val="43721"/>
        <cfvo type="num" val="43722"/>
        <color rgb="FFF8696B"/>
        <color rgb="FFFFEB84"/>
        <color rgb="FF63BE7B"/>
      </colorScale>
    </cfRule>
    <cfRule type="colorScale" priority="286">
      <colorScale>
        <cfvo type="num" val="43724"/>
        <cfvo type="num" val="43725"/>
        <cfvo type="num" val="43726"/>
        <color rgb="FFF8696B"/>
        <color rgb="FFFFEB84"/>
        <color rgb="FF63BE7B"/>
      </colorScale>
    </cfRule>
  </conditionalFormatting>
  <conditionalFormatting sqref="E37:F37">
    <cfRule type="colorScale" priority="277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78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79">
      <colorScale>
        <cfvo type="num" val="43722"/>
        <cfvo type="num" val="43723"/>
        <cfvo type="num" val="43724"/>
        <color rgb="FFF8696B"/>
        <color rgb="FFFFEB84"/>
        <color rgb="FF63BE7B"/>
      </colorScale>
    </cfRule>
    <cfRule type="colorScale" priority="280">
      <colorScale>
        <cfvo type="num" val="43720"/>
        <cfvo type="num" val="43721"/>
        <cfvo type="num" val="43722"/>
        <color rgb="FFF8696B"/>
        <color rgb="FFFFEB84"/>
        <color rgb="FF63BE7B"/>
      </colorScale>
    </cfRule>
    <cfRule type="colorScale" priority="281">
      <colorScale>
        <cfvo type="num" val="43724"/>
        <cfvo type="num" val="43725"/>
        <cfvo type="num" val="43726"/>
        <color rgb="FFF8696B"/>
        <color rgb="FFFFEB84"/>
        <color rgb="FF63BE7B"/>
      </colorScale>
    </cfRule>
  </conditionalFormatting>
  <conditionalFormatting sqref="E38:F41">
    <cfRule type="colorScale" priority="272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73">
      <colorScale>
        <cfvo type="num" val="43691"/>
        <cfvo type="num" val="43692"/>
        <cfvo type="num" val="43693"/>
        <color rgb="FFF8696B"/>
        <color rgb="FFFFEB84"/>
        <color rgb="FF63BE7B"/>
      </colorScale>
    </cfRule>
    <cfRule type="colorScale" priority="274">
      <colorScale>
        <cfvo type="num" val="43722"/>
        <cfvo type="num" val="43723"/>
        <cfvo type="num" val="43724"/>
        <color rgb="FFF8696B"/>
        <color rgb="FFFFEB84"/>
        <color rgb="FF63BE7B"/>
      </colorScale>
    </cfRule>
    <cfRule type="colorScale" priority="275">
      <colorScale>
        <cfvo type="num" val="43720"/>
        <cfvo type="num" val="43721"/>
        <cfvo type="num" val="43722"/>
        <color rgb="FFF8696B"/>
        <color rgb="FFFFEB84"/>
        <color rgb="FF63BE7B"/>
      </colorScale>
    </cfRule>
    <cfRule type="colorScale" priority="276">
      <colorScale>
        <cfvo type="num" val="43724"/>
        <cfvo type="num" val="43725"/>
        <cfvo type="num" val="43726"/>
        <color rgb="FFF8696B"/>
        <color rgb="FFFFEB84"/>
        <color rgb="FF63BE7B"/>
      </colorScale>
    </cfRule>
  </conditionalFormatting>
  <conditionalFormatting sqref="I5:CU15 I22:W30 I33:W41">
    <cfRule type="expression" dxfId="5" priority="1315">
      <formula>AND(today&gt;=I$5,today&lt;I$5+1)</formula>
    </cfRule>
  </conditionalFormatting>
  <conditionalFormatting sqref="I7:CU15 I23:W30 I34:W41">
    <cfRule type="expression" dxfId="4" priority="1313">
      <formula>AND(task_start&lt;=I$5,ROUNDDOWN((task_end-task_start+1)*task_progress,0)+task_start-1&gt;=I$5)</formula>
    </cfRule>
    <cfRule type="expression" dxfId="3" priority="1314" stopIfTrue="1">
      <formula>AND(task_end&gt;=I$5,task_start&lt;I$5+1)</formula>
    </cfRule>
  </conditionalFormatting>
  <conditionalFormatting sqref="X22:CD30 X33:CD41">
    <cfRule type="expression" dxfId="2" priority="1344">
      <formula>AND(today&gt;=AO$5,today&lt;AO$5+1)</formula>
    </cfRule>
  </conditionalFormatting>
  <conditionalFormatting sqref="X23:CD30 X34:CD41">
    <cfRule type="expression" dxfId="1" priority="1347">
      <formula>AND(task_start&lt;=AO$5,ROUNDDOWN((task_end-task_start+1)*task_progress,0)+task_start-1&gt;=AO$5)</formula>
    </cfRule>
    <cfRule type="expression" dxfId="0" priority="1348" stopIfTrue="1">
      <formula>AND(task_end&gt;=AO$5,task_start&lt;AO$5+1)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4" xr:uid="{00000000-0002-0000-0500-000000000000}">
      <formula1>1</formula1>
    </dataValidation>
  </dataValidations>
  <pageMargins left="0.35" right="0.35" top="0.35" bottom="0.5" header="0.3" footer="0.3"/>
  <pageSetup scale="37" orientation="landscape" r:id="rId1"/>
  <headerFooter scaleWithDoc="0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06D2C1-C2B4-4F2C-B956-2FCFF4A9F9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D8:D9</xm:sqref>
        </x14:conditionalFormatting>
        <x14:conditionalFormatting xmlns:xm="http://schemas.microsoft.com/office/excel/2006/main">
          <x14:cfRule type="dataBar" id="{7744B5F0-E418-4BBC-82D0-35004220D6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</xm:sqref>
        </x14:conditionalFormatting>
        <x14:conditionalFormatting xmlns:xm="http://schemas.microsoft.com/office/excel/2006/main">
          <x14:cfRule type="dataBar" id="{4DF270C8-D240-4538-992E-5BABFE0AB7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D11 D14</xm:sqref>
        </x14:conditionalFormatting>
        <x14:conditionalFormatting xmlns:xm="http://schemas.microsoft.com/office/excel/2006/main">
          <x14:cfRule type="dataBar" id="{BA0241B9-135C-4753-91F2-E4DA8EE131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D12:D13 D7 D15</xm:sqref>
        </x14:conditionalFormatting>
        <x14:conditionalFormatting xmlns:xm="http://schemas.microsoft.com/office/excel/2006/main">
          <x14:cfRule type="dataBar" id="{F6028EDA-B48A-415B-BDCF-2D70FB335D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D23</xm:sqref>
        </x14:conditionalFormatting>
        <x14:conditionalFormatting xmlns:xm="http://schemas.microsoft.com/office/excel/2006/main">
          <x14:cfRule type="dataBar" id="{74BBB2D4-80C0-4DBC-B49C-3A862DC98E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D24</xm:sqref>
        </x14:conditionalFormatting>
        <x14:conditionalFormatting xmlns:xm="http://schemas.microsoft.com/office/excel/2006/main">
          <x14:cfRule type="dataBar" id="{09310194-E5D9-4841-A473-B12A789E54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D25</xm:sqref>
        </x14:conditionalFormatting>
        <x14:conditionalFormatting xmlns:xm="http://schemas.microsoft.com/office/excel/2006/main">
          <x14:cfRule type="dataBar" id="{8641D935-2B45-461C-9A51-DD15D10FBC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D26</xm:sqref>
        </x14:conditionalFormatting>
        <x14:conditionalFormatting xmlns:xm="http://schemas.microsoft.com/office/excel/2006/main">
          <x14:cfRule type="dataBar" id="{6294E1DD-D63E-4DA0-A064-7D4A872C2F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D27:D30</xm:sqref>
        </x14:conditionalFormatting>
        <x14:conditionalFormatting xmlns:xm="http://schemas.microsoft.com/office/excel/2006/main">
          <x14:cfRule type="dataBar" id="{63869345-1982-4EED-9340-F464E422B1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D34</xm:sqref>
        </x14:conditionalFormatting>
        <x14:conditionalFormatting xmlns:xm="http://schemas.microsoft.com/office/excel/2006/main">
          <x14:cfRule type="dataBar" id="{CE7E25CE-E4EE-4945-B3CB-49B674DC4A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D35</xm:sqref>
        </x14:conditionalFormatting>
        <x14:conditionalFormatting xmlns:xm="http://schemas.microsoft.com/office/excel/2006/main">
          <x14:cfRule type="dataBar" id="{F5CC2C31-353F-4F92-A6B1-360BA3201B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D36</xm:sqref>
        </x14:conditionalFormatting>
        <x14:conditionalFormatting xmlns:xm="http://schemas.microsoft.com/office/excel/2006/main">
          <x14:cfRule type="dataBar" id="{10021F99-F773-47CA-8447-E5EA4238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D37</xm:sqref>
        </x14:conditionalFormatting>
        <x14:conditionalFormatting xmlns:xm="http://schemas.microsoft.com/office/excel/2006/main">
          <x14:cfRule type="dataBar" id="{D4E38761-F22D-463C-A9C2-7B55B2BBD1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D38:D41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 PUREM</vt:lpstr>
      <vt:lpstr>'CRONOGRAMA PUREM'!Area_de_impressao</vt:lpstr>
      <vt:lpstr>'CRONOGRAMA PUREM'!task_end</vt:lpstr>
      <vt:lpstr>'CRONOGRAMA PUREM'!task_progress</vt:lpstr>
      <vt:lpstr>'CRONOGRAMA PUREM'!task_start</vt:lpstr>
      <vt:lpstr>'CRONOGRAMA PUREM'!Titulos_de_impressao</vt:lpstr>
      <vt:lpstr>'CRONOGRAMA PUREM'!today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creator>Vertex42.com</dc:creator>
  <dc:description>© 2018-2019 Vertex42 LLC. All Rights Reserved.</dc:description>
  <cp:lastModifiedBy>Lucas Souza</cp:lastModifiedBy>
  <cp:lastPrinted>2026-02-04T17:04:58Z</cp:lastPrinted>
  <dcterms:created xsi:type="dcterms:W3CDTF">2017-01-09T18:01:51Z</dcterms:created>
  <dcterms:modified xsi:type="dcterms:W3CDTF">2026-07-21T13:22:59Z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